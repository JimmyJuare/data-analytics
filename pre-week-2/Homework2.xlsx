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immy\OneDrive\Desktop\DataAnalytics\pre-week-2\"/>
    </mc:Choice>
  </mc:AlternateContent>
  <xr:revisionPtr revIDLastSave="0" documentId="13_ncr:1_{E083A7A6-3DD4-4BE3-AEC4-47915734C8A5}" xr6:coauthVersionLast="47" xr6:coauthVersionMax="47" xr10:uidLastSave="{00000000-0000-0000-0000-000000000000}"/>
  <bookViews>
    <workbookView xWindow="-98" yWindow="-98" windowWidth="18915" windowHeight="11956" firstSheet="3" activeTab="4" xr2:uid="{00000000-000D-0000-FFFF-FFFF00000000}"/>
  </bookViews>
  <sheets>
    <sheet name="Pivot_Table_Region" sheetId="2" r:id="rId1"/>
    <sheet name="Store_Region_Summary" sheetId="3" r:id="rId2"/>
    <sheet name="Pivot_Table_Category" sheetId="5" r:id="rId3"/>
    <sheet name="Store_Data" sheetId="1" r:id="rId4"/>
    <sheet name="Store_Category_Summary" sheetId="8" r:id="rId5"/>
  </sheets>
  <calcPr calcId="191029"/>
  <pivotCaches>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 l="1"/>
  <c r="A5" i="1"/>
  <c r="A13" i="1"/>
  <c r="A7" i="1"/>
  <c r="A12" i="1"/>
  <c r="A6" i="1"/>
  <c r="A9" i="1"/>
  <c r="A3" i="1"/>
  <c r="A8" i="1"/>
  <c r="A11" i="1"/>
  <c r="A2" i="1"/>
  <c r="A4" i="1"/>
</calcChain>
</file>

<file path=xl/sharedStrings.xml><?xml version="1.0" encoding="utf-8"?>
<sst xmlns="http://schemas.openxmlformats.org/spreadsheetml/2006/main" count="49" uniqueCount="18">
  <si>
    <t>Store</t>
  </si>
  <si>
    <t>Category</t>
  </si>
  <si>
    <t>Region</t>
  </si>
  <si>
    <t>Monthly Sales</t>
  </si>
  <si>
    <t>North</t>
  </si>
  <si>
    <t>South</t>
  </si>
  <si>
    <t>East</t>
  </si>
  <si>
    <t>West</t>
  </si>
  <si>
    <t>Apparel</t>
  </si>
  <si>
    <t>Electrionics</t>
  </si>
  <si>
    <t>Home Goods</t>
  </si>
  <si>
    <t>Numerical Column</t>
  </si>
  <si>
    <t>Column2</t>
  </si>
  <si>
    <t>Row Labels</t>
  </si>
  <si>
    <t>Grand Total</t>
  </si>
  <si>
    <t>Sum of Monthly Sales</t>
  </si>
  <si>
    <t>The West region contributes the most to total monthly sales with $167, followed by the East region ($145). The South and North regions have very similar totals at $143 and $138 respectively. Store H in the West region has a very high monthly sales of 72, which is significantly higher than any other store. This one strong-performing store is clearly influencing and boosting the total sales for the West region. Overall, while sales are fairly balanced across regions, the West region stands out largely due to the outstanding performance of Store H.</t>
  </si>
  <si>
    <t>Electronics is the best-performing category with total monthly sales of $218, followed by Apparel ($195) and Home Goods ($180).
I selected a Column Chart because it allows for easy visual comparison of the sales totals across the three categories by showing clear differences in bar heights.
The chart clearly shows that Electronics outperforms the other two categories by a noticeable margin. This insight suggests that the merchandising team should focus more resources and inventory on Electronics products to maximize overall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</si>
</sst>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[Homework2.xlsx]Pivot_Table_Region!PivotTable1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Monthly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Pivot_Table_Region!$B$3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Pivot_Table_Region!$A$4:$A$8</c:f>
              <c:strCache>
                <c:ptCount val="4"/>
                <c:pt idx="0">
                  <c:v>East</c:v>
                </c:pt>
                <c:pt idx="1">
                  <c:v>North</c:v>
                </c:pt>
                <c:pt idx="2">
                  <c:v>South</c:v>
                </c:pt>
                <c:pt idx="3">
                  <c:v>West</c:v>
                </c:pt>
              </c:strCache>
            </c:strRef>
          </c:cat>
          <c:val>
            <c:numRef>
              <c:f>Pivot_Table_Region!$B$4:$B$8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2968-4EEC-90D6-AF926D16F1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[Homework2.xlsx]Pivot_Table_Category!PivotTable3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Monthly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Pivot_Table_Category!$A$4:$A$7</c:f>
              <c:strCache>
                <c:ptCount val="3"/>
                <c:pt idx="0">
                  <c:v>Apparel</c:v>
                </c:pt>
                <c:pt idx="1">
                  <c:v>Electrionics</c:v>
                </c:pt>
                <c:pt idx="2">
                  <c:v>Home Goods</c:v>
                </c:pt>
              </c:strCache>
            </c:strRef>
          </c:cat>
          <c:val>
            <c:numRef>
              <c:f>Pivot_Table_Category!$B$4:$B$7</c:f>
              <c:numCache>
                <c:formatCode>General</c:formatCode>
                <c:ptCount val="3"/>
                <c:pt idx="0">
                  <c:v>195</c:v>
                </c:pt>
                <c:pt idx="1">
                  <c:v>218</c:v>
                </c:pt>
                <c:pt idx="2">
                  <c:v>180</c:v>
                </c:pt>
              </c:numCache>
            </c:numRef>
          </c:val>
          <c:extLst>
            <c:ext xmlns:c16="http://schemas.microsoft.com/office/drawing/2014/chart" uri="{C3380CC4-5D6E-409C-BE32-E72D297353CC}">
              <c16:uniqueId val="{00000000-5FB4-49B3-A7D2-9BFA9AFDC7D2}"/>
            </c:ext>
          </c:extLst>
        </c:ser>
        <c:dLbls>
          <c:showLegendKey val="0"/>
          <c:showVal val="0"/>
          <c:showCatName val="0"/>
          <c:showSerName val="0"/>
          <c:showPercent val="0"/>
          <c:showBubbleSize val="0"/>
        </c:dLbls>
        <c:gapWidth val="219"/>
        <c:overlap val="-27"/>
        <c:axId val="64306895"/>
        <c:axId val="64308815"/>
      </c:barChart>
      <c:catAx>
        <c:axId val="6430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8815"/>
        <c:crosses val="autoZero"/>
        <c:auto val="1"/>
        <c:lblAlgn val="ctr"/>
        <c:lblOffset val="100"/>
        <c:noMultiLvlLbl val="0"/>
      </c:catAx>
      <c:valAx>
        <c:axId val="6430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0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626268</xdr:colOff>
      <xdr:row>4</xdr:row>
      <xdr:rowOff>23813</xdr:rowOff>
    </xdr:from>
    <xdr:to>
      <xdr:col>10</xdr:col>
      <xdr:colOff>16668</xdr:colOff>
      <xdr:row>19</xdr:row>
      <xdr:rowOff>52388</xdr:rowOff>
    </xdr:to>
    <xdr:graphicFrame macro="">
      <xdr:nvGraphicFramePr>
        <xdr:cNvPr id="2" name="Chart 1">
          <a:extLst>
            <a:ext uri="{FF2B5EF4-FFF2-40B4-BE49-F238E27FC236}">
              <a16:creationId xmlns:a16="http://schemas.microsoft.com/office/drawing/2014/main" id="{3C45DFA9-6CBB-319F-0439-022AC65B0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78580</xdr:colOff>
      <xdr:row>2</xdr:row>
      <xdr:rowOff>19050</xdr:rowOff>
    </xdr:from>
    <xdr:to>
      <xdr:col>9</xdr:col>
      <xdr:colOff>116680</xdr:colOff>
      <xdr:row>17</xdr:row>
      <xdr:rowOff>47625</xdr:rowOff>
    </xdr:to>
    <xdr:graphicFrame macro="">
      <xdr:nvGraphicFramePr>
        <xdr:cNvPr id="2" name="Chart 1">
          <a:extLst>
            <a:ext uri="{FF2B5EF4-FFF2-40B4-BE49-F238E27FC236}">
              <a16:creationId xmlns:a16="http://schemas.microsoft.com/office/drawing/2014/main" id="{491DC5C0-7877-34E1-A074-1469DF722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my Juarez" refreshedDate="46112.052650694444" createdVersion="8" refreshedVersion="8" minRefreshableVersion="3" recordCount="12" xr:uid="{36CF15A8-ECB9-4F36-95DB-EF9959E564D8}">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i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A"/>
    <x v="0"/>
    <x v="0"/>
    <n v="72"/>
  </r>
  <r>
    <s v="Store B"/>
    <x v="1"/>
    <x v="0"/>
    <n v="52"/>
  </r>
  <r>
    <s v="Store C"/>
    <x v="2"/>
    <x v="1"/>
    <n v="51"/>
  </r>
  <r>
    <s v="Store D"/>
    <x v="0"/>
    <x v="0"/>
    <n v="50"/>
  </r>
  <r>
    <s v="Store E"/>
    <x v="3"/>
    <x v="1"/>
    <n v="49"/>
  </r>
  <r>
    <s v="Store F"/>
    <x v="3"/>
    <x v="1"/>
    <n v="48"/>
  </r>
  <r>
    <s v="Store G"/>
    <x v="1"/>
    <x v="1"/>
    <n v="47"/>
  </r>
  <r>
    <s v="Store H"/>
    <x v="3"/>
    <x v="2"/>
    <n v="46"/>
  </r>
  <r>
    <s v="Store I"/>
    <x v="1"/>
    <x v="2"/>
    <n v="46"/>
  </r>
  <r>
    <s v="Store J"/>
    <x v="0"/>
    <x v="2"/>
    <n v="45"/>
  </r>
  <r>
    <s v="Store K"/>
    <x v="2"/>
    <x v="0"/>
    <n v="44"/>
  </r>
  <r>
    <s v="Store L"/>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55C03-93CA-4133-B12E-E1C9FF18679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954FE-147A-49D2-8957-3E359D29DB1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158CB-5A66-445A-9CF8-03E6EBF29BD5}" name="Table1" displayName="Table1" ref="H2:I5" totalsRowShown="0">
  <autoFilter ref="H2:I5" xr:uid="{A29158CB-5A66-445A-9CF8-03E6EBF29BD5}"/>
  <tableColumns count="2">
    <tableColumn id="1" xr3:uid="{C748A345-301C-4048-B59B-5DA993E4E7F6}" name="Numerical Column"/>
    <tableColumn id="2" xr3:uid="{7AD08645-A956-49A1-956B-8C4D893EFBCF}"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13A8-2532-48ED-9D5C-C775FA0B9520}">
  <dimension ref="A3:B8"/>
  <sheetViews>
    <sheetView workbookViewId="0">
      <selection activeCell="B7" sqref="B7"/>
    </sheetView>
  </sheetViews>
  <sheetFormatPr defaultRowHeight="14.25" x14ac:dyDescent="0.45"/>
  <cols>
    <col min="1" max="1" width="12.06640625" bestFit="1" customWidth="1"/>
    <col min="2" max="2" width="18.59765625" bestFit="1" customWidth="1"/>
  </cols>
  <sheetData>
    <row r="3" spans="1:2" x14ac:dyDescent="0.45">
      <c r="A3" s="2" t="s">
        <v>13</v>
      </c>
      <c r="B3" t="s">
        <v>15</v>
      </c>
    </row>
    <row r="4" spans="1:2" x14ac:dyDescent="0.45">
      <c r="A4" s="3" t="s">
        <v>6</v>
      </c>
      <c r="B4" s="4">
        <v>145</v>
      </c>
    </row>
    <row r="5" spans="1:2" x14ac:dyDescent="0.45">
      <c r="A5" s="3" t="s">
        <v>4</v>
      </c>
      <c r="B5" s="4">
        <v>138</v>
      </c>
    </row>
    <row r="6" spans="1:2" x14ac:dyDescent="0.45">
      <c r="A6" s="3" t="s">
        <v>5</v>
      </c>
      <c r="B6" s="4">
        <v>143</v>
      </c>
    </row>
    <row r="7" spans="1:2" x14ac:dyDescent="0.45">
      <c r="A7" s="3" t="s">
        <v>7</v>
      </c>
      <c r="B7" s="4">
        <v>167</v>
      </c>
    </row>
    <row r="8" spans="1:2" x14ac:dyDescent="0.45">
      <c r="A8" s="3" t="s">
        <v>14</v>
      </c>
      <c r="B8" s="4">
        <v>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CD8B3-A9AF-4B93-9ADE-75608B9FCF74}">
  <dimension ref="A1"/>
  <sheetViews>
    <sheetView zoomScale="98" workbookViewId="0">
      <selection activeCell="A3" sqref="A3"/>
    </sheetView>
  </sheetViews>
  <sheetFormatPr defaultRowHeight="14.25" x14ac:dyDescent="0.45"/>
  <cols>
    <col min="1" max="1" width="70.3984375" customWidth="1"/>
  </cols>
  <sheetData>
    <row r="1" spans="1:1" ht="99.75" x14ac:dyDescent="0.45">
      <c r="A1" s="5"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F574-9E49-4EAC-A750-E6F6D75D9560}">
  <dimension ref="A3:B7"/>
  <sheetViews>
    <sheetView workbookViewId="0">
      <selection activeCell="B23" sqref="B23"/>
    </sheetView>
  </sheetViews>
  <sheetFormatPr defaultRowHeight="14.25" x14ac:dyDescent="0.45"/>
  <cols>
    <col min="1" max="1" width="12.06640625" bestFit="1" customWidth="1"/>
    <col min="2" max="2" width="18.59765625" bestFit="1" customWidth="1"/>
  </cols>
  <sheetData>
    <row r="3" spans="1:2" x14ac:dyDescent="0.45">
      <c r="A3" s="2" t="s">
        <v>13</v>
      </c>
      <c r="B3" t="s">
        <v>15</v>
      </c>
    </row>
    <row r="4" spans="1:2" x14ac:dyDescent="0.45">
      <c r="A4" s="3" t="s">
        <v>8</v>
      </c>
      <c r="B4" s="4">
        <v>195</v>
      </c>
    </row>
    <row r="5" spans="1:2" x14ac:dyDescent="0.45">
      <c r="A5" s="3" t="s">
        <v>9</v>
      </c>
      <c r="B5" s="4">
        <v>218</v>
      </c>
    </row>
    <row r="6" spans="1:2" x14ac:dyDescent="0.45">
      <c r="A6" s="3" t="s">
        <v>10</v>
      </c>
      <c r="B6" s="4">
        <v>180</v>
      </c>
    </row>
    <row r="7" spans="1:2" x14ac:dyDescent="0.45">
      <c r="A7" s="3" t="s">
        <v>14</v>
      </c>
      <c r="B7" s="4">
        <v>593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workbookViewId="0">
      <selection activeCell="D13" sqref="A1:D13"/>
    </sheetView>
  </sheetViews>
  <sheetFormatPr defaultRowHeight="14.25" x14ac:dyDescent="0.45"/>
  <cols>
    <col min="3" max="3" width="10.796875" bestFit="1" customWidth="1"/>
    <col min="4" max="4" width="11.796875" bestFit="1" customWidth="1"/>
    <col min="8" max="8" width="16.06640625" bestFit="1" customWidth="1"/>
    <col min="9" max="9" width="15" bestFit="1" customWidth="1"/>
  </cols>
  <sheetData>
    <row r="1" spans="1:9" x14ac:dyDescent="0.45">
      <c r="A1" t="s">
        <v>0</v>
      </c>
      <c r="B1" t="s">
        <v>2</v>
      </c>
      <c r="C1" t="s">
        <v>1</v>
      </c>
      <c r="D1" t="s">
        <v>3</v>
      </c>
    </row>
    <row r="2" spans="1:9" x14ac:dyDescent="0.45">
      <c r="A2" t="str">
        <f>"Store " &amp; CHAR(64 + ROW(A2) - 1)</f>
        <v>Store A</v>
      </c>
      <c r="B2" t="s">
        <v>7</v>
      </c>
      <c r="C2" t="s">
        <v>9</v>
      </c>
      <c r="D2">
        <v>72</v>
      </c>
      <c r="H2" t="s">
        <v>11</v>
      </c>
      <c r="I2" t="s">
        <v>12</v>
      </c>
    </row>
    <row r="3" spans="1:9" x14ac:dyDescent="0.45">
      <c r="A3" t="str">
        <f>"Store " &amp; CHAR(64 + ROW(A3) - 1)</f>
        <v>Store B</v>
      </c>
      <c r="B3" t="s">
        <v>6</v>
      </c>
      <c r="C3" t="s">
        <v>9</v>
      </c>
      <c r="D3">
        <v>52</v>
      </c>
      <c r="H3" s="1" t="s">
        <v>3</v>
      </c>
      <c r="I3" s="1" t="s">
        <v>2</v>
      </c>
    </row>
    <row r="4" spans="1:9" x14ac:dyDescent="0.45">
      <c r="A4" t="str">
        <f>"Store " &amp; CHAR(64 + ROW(A4) - 1)</f>
        <v>Store C</v>
      </c>
      <c r="B4" t="s">
        <v>4</v>
      </c>
      <c r="C4" t="s">
        <v>8</v>
      </c>
      <c r="D4">
        <v>51</v>
      </c>
      <c r="I4" t="s">
        <v>0</v>
      </c>
    </row>
    <row r="5" spans="1:9" x14ac:dyDescent="0.45">
      <c r="A5" t="str">
        <f>"Store " &amp; CHAR(64 + ROW(A5) - 1)</f>
        <v>Store D</v>
      </c>
      <c r="B5" t="s">
        <v>7</v>
      </c>
      <c r="C5" t="s">
        <v>9</v>
      </c>
      <c r="D5">
        <v>50</v>
      </c>
      <c r="I5" t="s">
        <v>3</v>
      </c>
    </row>
    <row r="6" spans="1:9" x14ac:dyDescent="0.45">
      <c r="A6" t="str">
        <f>"Store " &amp; CHAR(64 + ROW(A6) - 1)</f>
        <v>Store E</v>
      </c>
      <c r="B6" t="s">
        <v>5</v>
      </c>
      <c r="C6" t="s">
        <v>8</v>
      </c>
      <c r="D6">
        <v>49</v>
      </c>
    </row>
    <row r="7" spans="1:9" x14ac:dyDescent="0.45">
      <c r="A7" t="str">
        <f>"Store " &amp; CHAR(64 + ROW(A7) - 1)</f>
        <v>Store F</v>
      </c>
      <c r="B7" t="s">
        <v>5</v>
      </c>
      <c r="C7" t="s">
        <v>8</v>
      </c>
      <c r="D7">
        <v>48</v>
      </c>
    </row>
    <row r="8" spans="1:9" x14ac:dyDescent="0.45">
      <c r="A8" t="str">
        <f>"Store " &amp; CHAR(64 + ROW(A8) - 1)</f>
        <v>Store G</v>
      </c>
      <c r="B8" t="s">
        <v>6</v>
      </c>
      <c r="C8" t="s">
        <v>8</v>
      </c>
      <c r="D8">
        <v>47</v>
      </c>
    </row>
    <row r="9" spans="1:9" x14ac:dyDescent="0.45">
      <c r="A9" t="str">
        <f>"Store " &amp; CHAR(64 + ROW(A9) - 1)</f>
        <v>Store H</v>
      </c>
      <c r="B9" t="s">
        <v>5</v>
      </c>
      <c r="C9" t="s">
        <v>10</v>
      </c>
      <c r="D9">
        <v>46</v>
      </c>
    </row>
    <row r="10" spans="1:9" x14ac:dyDescent="0.45">
      <c r="A10" t="str">
        <f>"Store " &amp; CHAR(64 + ROW(A10) - 1)</f>
        <v>Store I</v>
      </c>
      <c r="B10" t="s">
        <v>6</v>
      </c>
      <c r="C10" t="s">
        <v>10</v>
      </c>
      <c r="D10">
        <v>46</v>
      </c>
    </row>
    <row r="11" spans="1:9" x14ac:dyDescent="0.45">
      <c r="A11" t="str">
        <f>"Store " &amp; CHAR(64 + ROW(A11) - 1)</f>
        <v>Store J</v>
      </c>
      <c r="B11" t="s">
        <v>7</v>
      </c>
      <c r="C11" t="s">
        <v>10</v>
      </c>
      <c r="D11">
        <v>45</v>
      </c>
    </row>
    <row r="12" spans="1:9" x14ac:dyDescent="0.45">
      <c r="A12" t="str">
        <f>"Store " &amp; CHAR(64 + ROW(A12) - 1)</f>
        <v>Store K</v>
      </c>
      <c r="B12" t="s">
        <v>4</v>
      </c>
      <c r="C12" t="s">
        <v>9</v>
      </c>
      <c r="D12">
        <v>44</v>
      </c>
    </row>
    <row r="13" spans="1:9" x14ac:dyDescent="0.45">
      <c r="A13" t="str">
        <f>"Store " &amp; CHAR(64 + ROW(A13) - 1)</f>
        <v>Store L</v>
      </c>
      <c r="B13" t="s">
        <v>4</v>
      </c>
      <c r="C13" t="s">
        <v>10</v>
      </c>
      <c r="D13">
        <v>43</v>
      </c>
    </row>
  </sheetData>
  <sortState xmlns:xlrd2="http://schemas.microsoft.com/office/spreadsheetml/2017/richdata2" ref="A2:D13">
    <sortCondition descending="1" ref="D2:D13"/>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B476-7797-4C95-93FE-78CE72369759}">
  <dimension ref="A1"/>
  <sheetViews>
    <sheetView tabSelected="1" workbookViewId="0"/>
  </sheetViews>
  <sheetFormatPr defaultRowHeight="14.25" x14ac:dyDescent="0.45"/>
  <cols>
    <col min="1" max="1" width="61.06640625" customWidth="1"/>
  </cols>
  <sheetData>
    <row r="1" spans="1:1" ht="128.25" x14ac:dyDescent="0.45">
      <c r="A1" s="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Pivot_Table_Region</vt:lpstr>
      <vt:lpstr>Store_Region_Summary</vt:lpstr>
      <vt:lpstr>Pivot_Table_Category</vt:lpstr>
      <vt:lpstr>Store_Data</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Juarez</dc:creator>
  <cp:lastModifiedBy>Teodoro Juarez</cp:lastModifiedBy>
  <dcterms:created xsi:type="dcterms:W3CDTF">2015-06-05T18:17:20Z</dcterms:created>
  <dcterms:modified xsi:type="dcterms:W3CDTF">2026-03-31T06:53:14Z</dcterms:modified>
</cp:coreProperties>
</file>