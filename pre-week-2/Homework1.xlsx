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immy\OneDrive\Desktop\DataAnalytics\pre-week-2\"/>
    </mc:Choice>
  </mc:AlternateContent>
  <xr:revisionPtr revIDLastSave="0" documentId="13_ncr:1_{739A3F57-F224-4AFF-8EF7-0320C27BE8F2}" xr6:coauthVersionLast="47" xr6:coauthVersionMax="47" xr10:uidLastSave="{00000000-0000-0000-0000-000000000000}"/>
  <bookViews>
    <workbookView xWindow="-98" yWindow="-98" windowWidth="18915" windowHeight="11956" activeTab="1" xr2:uid="{00000000-000D-0000-FFFF-FFFF00000000}"/>
  </bookViews>
  <sheets>
    <sheet name="Store_Data" sheetId="1" r:id="rId1"/>
    <sheet name="Store_Summary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A2" i="1"/>
  <c r="A3" i="1"/>
  <c r="A4" i="1"/>
  <c r="A5" i="1"/>
  <c r="A6" i="1"/>
  <c r="A7" i="1"/>
  <c r="A8" i="1"/>
  <c r="A9" i="1"/>
  <c r="A10" i="1"/>
  <c r="A11" i="1"/>
  <c r="A12" i="1"/>
  <c r="A13" i="1"/>
</calcChain>
</file>

<file path=xl/sharedStrings.xml><?xml version="1.0" encoding="utf-8"?>
<sst xmlns="http://schemas.openxmlformats.org/spreadsheetml/2006/main" count="9" uniqueCount="9">
  <si>
    <t>Monthly Sales</t>
  </si>
  <si>
    <r>
      <t>S</t>
    </r>
    <r>
      <rPr>
        <b/>
        <sz val="12"/>
        <color theme="1"/>
        <rFont val="Calibri"/>
        <family val="2"/>
        <scheme val="minor"/>
      </rPr>
      <t>tore</t>
    </r>
  </si>
  <si>
    <t>Statistics</t>
  </si>
  <si>
    <t>Mean</t>
  </si>
  <si>
    <t>Median</t>
  </si>
  <si>
    <t>Mode</t>
  </si>
  <si>
    <t>Range</t>
  </si>
  <si>
    <t>Standard Deviation</t>
  </si>
  <si>
    <t>The overall average monthly sales performance across the 12 stores is approximately $49.42. The median is $47.50 and the mode is $46, showing that most stores are performing in the mid-40s to low-50s range. Store performance is moderately spread out, with a sample standard deviation of about 7.63 when all stores are included. However, when Store H (72) is temporarily removed, the standard deviation drops dramatically to about 2.91, indicating that performance is actually very tightly grouped among the other 11 stores. Store H is a clear outlier that significantly influences both the mean and the variability of the entire dataset. Additional information I would want includes sales targets or goals for each store, operating costs/profit margins, the time period these numbers represent (seasonality?), and any external factors such as location traffic or promotions.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</si>
</sst>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top"/>
    </xf>
    <xf numFmtId="0" fontId="0" fillId="0" borderId="2" xfId="0" applyBorder="1"/>
    <xf numFmtId="0" fontId="0" fillId="0" borderId="4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" fillId="2" borderId="1" xfId="1" applyAlignment="1">
      <alignment horizontal="center"/>
    </xf>
    <xf numFmtId="0" fontId="0" fillId="0" borderId="9" xfId="0" applyFill="1" applyBorder="1" applyAlignment="1">
      <alignment horizontal="left" vertical="top"/>
    </xf>
    <xf numFmtId="0" fontId="0" fillId="0" borderId="0" xfId="0" applyAlignment="1">
      <alignment wrapText="1"/>
    </xf>
  </cellXfs>
  <cellStyles count="2">
    <cellStyle name="Calculation" xfId="1" builtinId="22"/>
    <cellStyle name="Normal" xfId="0" builtinId="0"/>
  </cellStyles>
  <dxfs count="5">
    <dxf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63EB2A-C46F-4D47-ADB9-970338078EE2}" name="Table1" displayName="Table1" ref="A1:B13" totalsRowShown="0" headerRowBorderDxfId="3" tableBorderDxfId="4" totalsRowBorderDxfId="2">
  <autoFilter ref="A1:B13" xr:uid="{E163EB2A-C46F-4D47-ADB9-970338078EE2}"/>
  <tableColumns count="2">
    <tableColumn id="1" xr3:uid="{8028763A-D031-4987-AE95-3AA746B800CB}" name="Store" dataDxfId="0">
      <calculatedColumnFormula>"Store " &amp; CHAR(64 +ROW(A2) -1)</calculatedColumnFormula>
    </tableColumn>
    <tableColumn id="2" xr3:uid="{94A48E42-C82B-4FDE-BD7E-1BB7493A941E}" name="Monthly Sale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22" sqref="B22"/>
    </sheetView>
  </sheetViews>
  <sheetFormatPr defaultRowHeight="14.25" x14ac:dyDescent="0.45"/>
  <cols>
    <col min="1" max="1" width="15.86328125" bestFit="1" customWidth="1"/>
    <col min="2" max="2" width="14.1328125" style="1" customWidth="1"/>
  </cols>
  <sheetData>
    <row r="1" spans="1:2" ht="15.75" x14ac:dyDescent="0.45">
      <c r="A1" s="6" t="s">
        <v>1</v>
      </c>
      <c r="B1" s="4" t="s">
        <v>0</v>
      </c>
    </row>
    <row r="2" spans="1:2" x14ac:dyDescent="0.45">
      <c r="A2" s="7" t="str">
        <f>"Store " &amp; CHAR(64 +ROW(A2) -1)</f>
        <v>Store A</v>
      </c>
      <c r="B2" s="3">
        <v>51</v>
      </c>
    </row>
    <row r="3" spans="1:2" x14ac:dyDescent="0.45">
      <c r="A3" s="7" t="str">
        <f t="shared" ref="A3:A13" si="0">"Store " &amp; CHAR(64 +ROW(A3) -1)</f>
        <v>Store B</v>
      </c>
      <c r="B3" s="3">
        <v>44</v>
      </c>
    </row>
    <row r="4" spans="1:2" x14ac:dyDescent="0.45">
      <c r="A4" s="7" t="str">
        <f t="shared" si="0"/>
        <v>Store C</v>
      </c>
      <c r="B4" s="3">
        <v>49</v>
      </c>
    </row>
    <row r="5" spans="1:2" x14ac:dyDescent="0.45">
      <c r="A5" s="7" t="str">
        <f t="shared" si="0"/>
        <v>Store D</v>
      </c>
      <c r="B5" s="3">
        <v>46</v>
      </c>
    </row>
    <row r="6" spans="1:2" x14ac:dyDescent="0.45">
      <c r="A6" s="7" t="str">
        <f t="shared" si="0"/>
        <v>Store E</v>
      </c>
      <c r="B6" s="3">
        <v>52</v>
      </c>
    </row>
    <row r="7" spans="1:2" x14ac:dyDescent="0.45">
      <c r="A7" s="7" t="str">
        <f t="shared" si="0"/>
        <v>Store F</v>
      </c>
      <c r="B7" s="3">
        <v>47</v>
      </c>
    </row>
    <row r="8" spans="1:2" x14ac:dyDescent="0.45">
      <c r="A8" s="7" t="str">
        <f t="shared" si="0"/>
        <v>Store G</v>
      </c>
      <c r="B8" s="3">
        <v>45</v>
      </c>
    </row>
    <row r="9" spans="1:2" x14ac:dyDescent="0.45">
      <c r="A9" s="7" t="str">
        <f t="shared" si="0"/>
        <v>Store H</v>
      </c>
      <c r="B9" s="3">
        <v>72</v>
      </c>
    </row>
    <row r="10" spans="1:2" x14ac:dyDescent="0.45">
      <c r="A10" s="7" t="str">
        <f t="shared" si="0"/>
        <v>Store I</v>
      </c>
      <c r="B10" s="3">
        <v>43</v>
      </c>
    </row>
    <row r="11" spans="1:2" x14ac:dyDescent="0.45">
      <c r="A11" s="7" t="str">
        <f t="shared" si="0"/>
        <v>Store J</v>
      </c>
      <c r="B11" s="3">
        <v>48</v>
      </c>
    </row>
    <row r="12" spans="1:2" x14ac:dyDescent="0.45">
      <c r="A12" s="7" t="str">
        <f t="shared" si="0"/>
        <v>Store K</v>
      </c>
      <c r="B12" s="3">
        <v>46</v>
      </c>
    </row>
    <row r="13" spans="1:2" x14ac:dyDescent="0.45">
      <c r="A13" s="8" t="str">
        <f t="shared" si="0"/>
        <v>Store L</v>
      </c>
      <c r="B13" s="5">
        <v>50</v>
      </c>
    </row>
    <row r="15" spans="1:2" x14ac:dyDescent="0.45">
      <c r="A15" s="10" t="s">
        <v>2</v>
      </c>
      <c r="B15" s="10"/>
    </row>
    <row r="16" spans="1:2" x14ac:dyDescent="0.45">
      <c r="A16" s="9" t="s">
        <v>3</v>
      </c>
      <c r="B16" s="2">
        <f>AVERAGE(B2:B13)</f>
        <v>49.416666666666664</v>
      </c>
    </row>
    <row r="17" spans="1:2" x14ac:dyDescent="0.45">
      <c r="A17" s="9" t="s">
        <v>4</v>
      </c>
      <c r="B17" s="2">
        <f>MEDIAN(B2:B13)</f>
        <v>47.5</v>
      </c>
    </row>
    <row r="18" spans="1:2" x14ac:dyDescent="0.45">
      <c r="A18" s="9" t="s">
        <v>5</v>
      </c>
      <c r="B18" s="2">
        <f>_xlfn.MODE.SNGL(B2:B13)</f>
        <v>46</v>
      </c>
    </row>
    <row r="19" spans="1:2" x14ac:dyDescent="0.45">
      <c r="A19" s="9" t="s">
        <v>6</v>
      </c>
      <c r="B19" s="2">
        <f>MAX(B2:B13) - MIN(B2:B13)</f>
        <v>29</v>
      </c>
    </row>
    <row r="20" spans="1:2" x14ac:dyDescent="0.45">
      <c r="A20" s="11" t="s">
        <v>7</v>
      </c>
      <c r="B20" s="1">
        <f>_xlfn.STDEV.S(B2:B13)</f>
        <v>7.6331613054586773</v>
      </c>
    </row>
    <row r="21" spans="1:2" x14ac:dyDescent="0.45">
      <c r="B21" s="1">
        <f>_xlfn.STDEV.S(B2:B8,B10:B13)</f>
        <v>2.9076701075853588</v>
      </c>
    </row>
  </sheetData>
  <mergeCells count="1">
    <mergeCell ref="A15:B15"/>
  </mergeCells>
  <phoneticPr fontId="3" type="noConversion"/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459F-9E17-46D2-B3FA-342D03A74362}">
  <dimension ref="A1"/>
  <sheetViews>
    <sheetView tabSelected="1" workbookViewId="0"/>
  </sheetViews>
  <sheetFormatPr defaultRowHeight="14.25" x14ac:dyDescent="0.45"/>
  <cols>
    <col min="1" max="1" width="59.265625" customWidth="1"/>
  </cols>
  <sheetData>
    <row r="1" spans="1:1" ht="185.25" x14ac:dyDescent="0.45">
      <c r="A1" s="1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Store_Summary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Jimmy Juarez</dc:creator>
  <cp:lastModifiedBy>Teodoro Juarez</cp:lastModifiedBy>
  <dcterms:created xsi:type="dcterms:W3CDTF">2015-06-05T18:17:20Z</dcterms:created>
  <dcterms:modified xsi:type="dcterms:W3CDTF">2026-03-27T05:38:28Z</dcterms:modified>
</cp:coreProperties>
</file>